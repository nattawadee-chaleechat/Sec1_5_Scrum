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  <sheet state="hidden" name="Copy of SprintBacklog" sheetId="2" r:id="rId5"/>
    <sheet state="hidden" name="old lab" sheetId="3" r:id="rId6"/>
  </sheets>
  <definedNames/>
  <calcPr/>
  <extLst>
    <ext uri="GoogleSheetsCustomDataVersion2">
      <go:sheetsCustomData xmlns:go="http://customooxmlschemas.google.com/" r:id="rId7" roundtripDataChecksum="tY+POn/oNVbUBp0lW7VXBtgF1toGywO9RaRWAHcoXYI="/>
    </ext>
  </extLst>
</workbook>
</file>

<file path=xl/sharedStrings.xml><?xml version="1.0" encoding="utf-8"?>
<sst xmlns="http://schemas.openxmlformats.org/spreadsheetml/2006/main" count="150" uniqueCount="90">
  <si>
    <t>Sprint Backlog</t>
  </si>
  <si>
    <t xml:space="preserve">***หมายเหตุ: กำหนดให้แต่ละ Sprint มีความยาว 2 สัปดาห์ (10 วัน) เท่ากัน 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</si>
  <si>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</si>
  <si>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</si>
  <si>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</si>
  <si>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</si>
  <si>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</si>
  <si>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Requirement analysis and Design planning</t>
  </si>
  <si>
    <t>User analysis</t>
  </si>
  <si>
    <t>System planning</t>
  </si>
  <si>
    <t xml:space="preserve">Database design </t>
  </si>
  <si>
    <t xml:space="preserve">Test case design </t>
  </si>
  <si>
    <t>Project documentation</t>
  </si>
  <si>
    <t>Development and Testing</t>
  </si>
  <si>
    <t xml:space="preserve">Home page </t>
  </si>
  <si>
    <t xml:space="preserve">Login page </t>
  </si>
  <si>
    <t>Student page</t>
  </si>
  <si>
    <t xml:space="preserve">Student's Final date page </t>
  </si>
  <si>
    <t xml:space="preserve">Search Subject page </t>
  </si>
  <si>
    <t xml:space="preserve">Show Subject's final date page </t>
  </si>
  <si>
    <t>Setup database</t>
  </si>
  <si>
    <t>Connect database</t>
  </si>
  <si>
    <t>password encode</t>
  </si>
  <si>
    <t xml:space="preserve">Query Student information </t>
  </si>
  <si>
    <t>Query Student's Final date</t>
  </si>
  <si>
    <t>Query Subject's Final date</t>
  </si>
  <si>
    <t>Web Deployment</t>
  </si>
  <si>
    <t>Test Functional algorithm (UNIT test)</t>
  </si>
  <si>
    <t>test perfermance</t>
  </si>
  <si>
    <t>test UAT</t>
  </si>
  <si>
    <t>test security</t>
  </si>
  <si>
    <t>Improvement</t>
  </si>
  <si>
    <t>Improve after test</t>
  </si>
  <si>
    <t>Sum</t>
  </si>
  <si>
    <t>Sprint</t>
  </si>
  <si>
    <t>Burn down time</t>
  </si>
  <si>
    <t xml:space="preserve">As a student, I want to check on my final exam dates so that I
can plan ahead.
</t>
  </si>
  <si>
    <t>Web Deployment (web connect เปลี่นชื่อ)</t>
  </si>
  <si>
    <t>หลังทุกอย่างเสร็จ</t>
  </si>
  <si>
    <t>ทำตลอด??</t>
  </si>
  <si>
    <t>รอเสร็จ</t>
  </si>
  <si>
    <t>รอ password encoder เสร็จ</t>
  </si>
  <si>
    <t>Improve after test (after Deployment???)</t>
  </si>
  <si>
    <t>Day</t>
  </si>
  <si>
    <t>Burn down Time</t>
  </si>
  <si>
    <t>Team Velocity</t>
  </si>
  <si>
    <t>Story ID</t>
  </si>
  <si>
    <t>Task ID</t>
  </si>
  <si>
    <t>Task name</t>
  </si>
  <si>
    <t>Description</t>
  </si>
  <si>
    <t>Estimate Effort (hrs.)</t>
  </si>
  <si>
    <t>Committed at Sprint no.</t>
  </si>
  <si>
    <t>S01</t>
  </si>
  <si>
    <t>T01</t>
  </si>
  <si>
    <t>วิเคราะห์ user story และความต้องการของผู้ใช้</t>
  </si>
  <si>
    <t>T02</t>
  </si>
  <si>
    <t>วางแผนการทำงานของระบบ สิ่งที่ระบบต้องมี การใช้งานระบบ เงื่อนไขต่างๆของระบบ</t>
  </si>
  <si>
    <t>T03</t>
  </si>
  <si>
    <t>ออกแบบการจัดเก็บข้อมูล ทั้งตารางการเก็บข้อมูล ประเภทของข้อมูล ชนิดข้อมูล การเชื่อมโยงข้อมูลระหว่างตาราง</t>
  </si>
  <si>
    <t>T04</t>
  </si>
  <si>
    <t xml:space="preserve">ออกแบบ Test case เพื่อใช้ทดสอบระบบ </t>
  </si>
  <si>
    <t>T..</t>
  </si>
  <si>
    <t>document</t>
  </si>
  <si>
    <t>...</t>
  </si>
  <si>
    <t>T05</t>
  </si>
  <si>
    <t>เขียนโปรแกรมสำหรับหน้า Home หลัก เป็นหน้าที่เข้าได้ทุกคน สามารถเลือก login หรือ ค้นหารายวิชาได้</t>
  </si>
  <si>
    <t>T06</t>
  </si>
  <si>
    <t>เขียนโปรแกรมสำหรับหน้า Login form เพื่อให้ผู้ใช้กรอกข้อมูลในการ login</t>
  </si>
  <si>
    <t>T07</t>
  </si>
  <si>
    <t>เขียนโปรแกรมสำหรับหน้า Student แสดงรายละเอียดของนักศึกษา หลังจาก login เสร็จสิ้น สามารถเลือก logout หรือ ดูข้อมูลอื่นๆ เช่น วันสอบปลายภาค ได้</t>
  </si>
  <si>
    <t>T08</t>
  </si>
  <si>
    <t>เขียนโปรแกรมสำหรับหน้า Final date แสดงวันสอบปลายภาคทั้งหมดของนักศึกษาที่ login หลังจากเลือกดูวันสอบปลายภาค</t>
  </si>
  <si>
    <t>T09</t>
  </si>
  <si>
    <t>เขียนโปรแกรมสำหรับหน้า Search Subject เพื่อให้นักศึกษาสามารถค้นหารายวิชาได้ แม้จะยังไม่ login</t>
  </si>
  <si>
    <t>T10</t>
  </si>
  <si>
    <t>เขียนโปรแกรมสำหรับหน้า Final date แสดงวันสอบปลายภาคทั้งหมดของรายวิชาที่ค้นหา</t>
  </si>
  <si>
    <t>web conect</t>
  </si>
  <si>
    <t>T11</t>
  </si>
  <si>
    <t>เชื่อมต่อฐานข้อมูลกับเว็บที่ออกแบบไว้</t>
  </si>
  <si>
    <t>T12</t>
  </si>
  <si>
    <t>เขียนโปรแกรมเพื่อดึงข้อมูลของนักศึกษา</t>
  </si>
  <si>
    <t>T13</t>
  </si>
  <si>
    <t>เขียนโปรแกรมเพื่อดึงข้อมูลของวันสอบปลายภาคที่นักศึกษาลงทะเบียนไว้</t>
  </si>
  <si>
    <t>T14</t>
  </si>
  <si>
    <t>เขียนโปรแกรมเพื่อดึงข้อมูลของวันสอบปลายภาคของรายวิชาที่ค้นหา</t>
  </si>
  <si>
    <t>T15</t>
  </si>
  <si>
    <t>Test ตาม Test case ที่ออกแบบไว้</t>
  </si>
  <si>
    <t>T16</t>
  </si>
  <si>
    <t>แก้ไขและปรับปรุงให้โปรแกรมและระบบมีการทำงานที่ดีขึ้น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</si>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</sst>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20.0"/>
      <color rgb="FF000000"/>
      <name val="Cordia New"/>
    </font>
    <font/>
    <font>
      <color theme="1"/>
      <name val="Calibri"/>
      <scheme val="minor"/>
    </font>
    <font>
      <sz val="20.0"/>
      <color rgb="FF000000"/>
      <name val="Cordia New"/>
    </font>
    <font>
      <sz val="20.0"/>
      <color rgb="FFFF0000"/>
      <name val="Cordia New"/>
    </font>
    <font>
      <b/>
      <sz val="18.0"/>
      <color theme="1"/>
      <name val="Sarabun"/>
    </font>
    <font>
      <sz val="18.0"/>
      <color theme="1"/>
      <name val="Sarabun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7" fillId="0" fontId="6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7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2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/>
    </xf>
    <xf borderId="0" fillId="0" fontId="2" numFmtId="0" xfId="0" applyAlignment="1" applyFont="1">
      <alignment horizontal="right" readingOrder="0"/>
    </xf>
    <xf borderId="0" fillId="0" fontId="2" numFmtId="1" xfId="0" applyFont="1" applyNumberFormat="1"/>
    <xf borderId="7" fillId="0" fontId="5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7" fillId="2" fontId="2" numFmtId="0" xfId="0" applyAlignment="1" applyBorder="1" applyFill="1" applyFont="1">
      <alignment shrinkToFit="0" vertical="bottom" wrapText="1"/>
    </xf>
    <xf borderId="7" fillId="3" fontId="6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/>
    </xf>
    <xf borderId="9" fillId="0" fontId="2" numFmtId="0" xfId="0" applyBorder="1" applyFont="1"/>
    <xf borderId="8" fillId="0" fontId="5" numFmtId="0" xfId="0" applyBorder="1" applyFont="1"/>
    <xf borderId="12" fillId="0" fontId="2" numFmtId="0" xfId="0" applyBorder="1" applyFont="1"/>
    <xf borderId="13" fillId="0" fontId="2" numFmtId="0" xfId="0" applyBorder="1" applyFont="1"/>
    <xf borderId="7" fillId="2" fontId="2" numFmtId="0" xfId="0" applyAlignment="1" applyBorder="1" applyFont="1">
      <alignment readingOrder="0"/>
    </xf>
    <xf borderId="5" fillId="0" fontId="5" numFmtId="0" xfId="0" applyBorder="1" applyFont="1"/>
    <xf borderId="7" fillId="4" fontId="2" numFmtId="0" xfId="0" applyAlignment="1" applyBorder="1" applyFill="1" applyFont="1">
      <alignment shrinkToFit="0" vertical="bottom" wrapText="1"/>
    </xf>
    <xf borderId="7" fillId="5" fontId="2" numFmtId="0" xfId="0" applyAlignment="1" applyBorder="1" applyFill="1" applyFont="1">
      <alignment readingOrder="0" shrinkToFit="0" vertical="bottom" wrapText="1"/>
    </xf>
    <xf borderId="7" fillId="3" fontId="2" numFmtId="0" xfId="0" applyAlignment="1" applyBorder="1" applyFont="1">
      <alignment horizontal="center" readingOrder="0"/>
    </xf>
    <xf borderId="0" fillId="4" fontId="2" numFmtId="0" xfId="0" applyAlignment="1" applyFont="1">
      <alignment readingOrder="0"/>
    </xf>
    <xf borderId="7" fillId="5" fontId="2" numFmtId="0" xfId="0" applyAlignment="1" applyBorder="1" applyFont="1">
      <alignment shrinkToFit="0" vertical="bottom" wrapText="1"/>
    </xf>
    <xf borderId="0" fillId="4" fontId="7" numFmtId="0" xfId="0" applyAlignment="1" applyFont="1">
      <alignment readingOrder="0"/>
    </xf>
    <xf borderId="7" fillId="3" fontId="2" numFmtId="0" xfId="0" applyAlignment="1" applyBorder="1" applyFont="1">
      <alignment readingOrder="0" shrinkToFit="0" vertical="bottom" wrapText="1"/>
    </xf>
    <xf borderId="7" fillId="3" fontId="2" numFmtId="0" xfId="0" applyAlignment="1" applyBorder="1" applyFont="1">
      <alignment readingOrder="0"/>
    </xf>
    <xf borderId="2" fillId="3" fontId="6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6" fontId="2" numFmtId="0" xfId="0" applyAlignment="1" applyFill="1" applyFont="1">
      <alignment readingOrder="0"/>
    </xf>
    <xf borderId="0" fillId="6" fontId="2" numFmtId="0" xfId="0" applyFont="1"/>
    <xf borderId="1" fillId="0" fontId="2" numFmtId="0" xfId="0" applyAlignment="1" applyBorder="1" applyFont="1">
      <alignment horizontal="right" readingOrder="0"/>
    </xf>
    <xf borderId="11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horizontal="right" readingOrder="0"/>
    </xf>
    <xf borderId="14" fillId="0" fontId="2" numFmtId="1" xfId="0" applyBorder="1" applyFont="1" applyNumberFormat="1"/>
    <xf borderId="15" fillId="0" fontId="2" numFmtId="1" xfId="0" applyBorder="1" applyFont="1" applyNumberFormat="1"/>
    <xf borderId="7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/>
    </xf>
    <xf borderId="7" fillId="0" fontId="9" numFmtId="0" xfId="0" applyAlignment="1" applyBorder="1" applyFont="1">
      <alignment vertical="bottom"/>
    </xf>
    <xf borderId="7" fillId="0" fontId="9" numFmtId="0" xfId="0" applyAlignment="1" applyBorder="1" applyFont="1">
      <alignment shrinkToFit="0" vertical="bottom" wrapText="1"/>
    </xf>
    <xf borderId="7" fillId="0" fontId="9" numFmtId="0" xfId="0" applyAlignment="1" applyBorder="1" applyFont="1">
      <alignment horizontal="right" vertical="bottom"/>
    </xf>
    <xf borderId="7" fillId="0" fontId="9" numFmtId="0" xfId="0" applyAlignment="1" applyBorder="1" applyFont="1">
      <alignment readingOrder="0" vertical="bottom"/>
    </xf>
    <xf borderId="7" fillId="0" fontId="9" numFmtId="0" xfId="0" applyAlignment="1" applyBorder="1" applyFont="1">
      <alignment readingOrder="0"/>
    </xf>
    <xf borderId="7" fillId="0" fontId="9" numFmtId="0" xfId="0" applyAlignment="1" applyBorder="1" applyFont="1">
      <alignment horizontal="right" readingOrder="0" vertical="bottom"/>
    </xf>
    <xf borderId="0" fillId="0" fontId="9" numFmtId="0" xfId="0" applyAlignment="1" applyFont="1">
      <alignment readingOrder="0"/>
    </xf>
    <xf borderId="7" fillId="0" fontId="9" numFmtId="0" xfId="0" applyAlignment="1" applyBorder="1" applyFont="1">
      <alignment readingOrder="0" shrinkToFit="0" vertical="bottom" wrapText="1"/>
    </xf>
    <xf borderId="7" fillId="0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 Time vs.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'Copy of SprintBacklog'!$O$32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'Copy of SprintBacklog'!$P$31:$Y$31</c:f>
            </c:strRef>
          </c:cat>
          <c:val>
            <c:numRef>
              <c:f>'Copy of SprintBacklog'!$P$32:$Y$32</c:f>
              <c:numCache/>
            </c:numRef>
          </c:val>
          <c:smooth val="0"/>
        </c:ser>
        <c:axId val="703608287"/>
        <c:axId val="759106199"/>
      </c:lineChart>
      <c:catAx>
        <c:axId val="703608287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106199"/>
      </c:catAx>
      <c:valAx>
        <c:axId val="759106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Burn down Time (Hrs.)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608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Team Velocity vs.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'Copy of SprintBacklog'!$O$33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'Copy of SprintBacklog'!$P$31:$Y$31</c:f>
            </c:strRef>
          </c:cat>
          <c:val>
            <c:numRef>
              <c:f>'Copy of SprintBacklog'!$P$33:$Y$33</c:f>
              <c:numCache/>
            </c:numRef>
          </c:val>
          <c:smooth val="0"/>
        </c:ser>
        <c:axId val="791427888"/>
        <c:axId val="1675107265"/>
      </c:lineChart>
      <c:catAx>
        <c:axId val="791427888"/>
        <c:scaling>
          <c:orientation val="minMax"/>
          <c:max val="1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107265"/>
      </c:catAx>
      <c:valAx>
        <c:axId val="1675107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Team Velocity (Hrs.)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1427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 Time &amp; Team Velocity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'Copy of SprintBacklog'!$O$32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circle"/>
            <c:size val="2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SprintBacklog'!$P$31:$Y$31</c:f>
            </c:strRef>
          </c:cat>
          <c:val>
            <c:numRef>
              <c:f>'Copy of SprintBacklog'!$P$32:$Y$32</c:f>
              <c:numCache/>
            </c:numRef>
          </c:val>
          <c:smooth val="0"/>
        </c:ser>
        <c:ser>
          <c:idx val="1"/>
          <c:order val="1"/>
          <c:tx>
            <c:strRef>
              <c:f>'Copy of SprintBacklog'!$O$33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circle"/>
            <c:size val="2"/>
            <c:spPr>
              <a:solidFill>
                <a:srgbClr val="ED7D31"/>
              </a:solidFill>
              <a:ln cmpd="sng">
                <a:solidFill>
                  <a:srgbClr val="ED7D3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'Copy of SprintBacklog'!$P$31:$Y$31</c:f>
            </c:strRef>
          </c:cat>
          <c:val>
            <c:numRef>
              <c:f>'Copy of SprintBacklog'!$P$33:$Y$33</c:f>
              <c:numCache/>
            </c:numRef>
          </c:val>
          <c:smooth val="0"/>
        </c:ser>
        <c:axId val="836500833"/>
        <c:axId val="365786504"/>
      </c:lineChart>
      <c:catAx>
        <c:axId val="836500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786504"/>
      </c:catAx>
      <c:valAx>
        <c:axId val="365786504"/>
        <c:scaling>
          <c:orientation val="minMax"/>
          <c:max val="1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(Hrs.)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50083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1428750</xdr:colOff>
      <xdr:row>33</xdr:row>
      <xdr:rowOff>200025</xdr:rowOff>
    </xdr:from>
    <xdr:ext cx="5715000" cy="3533775"/>
    <xdr:graphicFrame>
      <xdr:nvGraphicFramePr>
        <xdr:cNvPr id="91011466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847725</xdr:colOff>
      <xdr:row>33</xdr:row>
      <xdr:rowOff>209550</xdr:rowOff>
    </xdr:from>
    <xdr:ext cx="5715000" cy="3533775"/>
    <xdr:graphicFrame>
      <xdr:nvGraphicFramePr>
        <xdr:cNvPr id="4914628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1038225</xdr:colOff>
      <xdr:row>33</xdr:row>
      <xdr:rowOff>209550</xdr:rowOff>
    </xdr:from>
    <xdr:ext cx="5715000" cy="3533775"/>
    <xdr:graphicFrame>
      <xdr:nvGraphicFramePr>
        <xdr:cNvPr id="1390713948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6.71"/>
    <col customWidth="1" min="3" max="3" width="60.71"/>
    <col customWidth="1" min="4" max="4" width="20.14"/>
    <col customWidth="1" min="5" max="14" width="6.71"/>
    <col customWidth="1" min="15" max="15" width="8.43"/>
    <col customWidth="1" min="16" max="16" width="8.71"/>
    <col customWidth="1" min="17" max="17" width="8.0"/>
    <col customWidth="1" min="18" max="26" width="8.71"/>
  </cols>
  <sheetData>
    <row r="1" ht="25.5" customHeight="1">
      <c r="A1" s="1" t="s">
        <v>0</v>
      </c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3" t="s">
        <v>1</v>
      </c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/>
      <c r="G4" s="7"/>
      <c r="H4" s="7"/>
      <c r="I4" s="7"/>
      <c r="J4" s="7"/>
      <c r="K4" s="7"/>
      <c r="L4" s="7"/>
      <c r="M4" s="7"/>
      <c r="N4" s="8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9"/>
      <c r="B5" s="9"/>
      <c r="C5" s="9"/>
      <c r="D5" s="9"/>
      <c r="E5" s="10">
        <v>1.0</v>
      </c>
      <c r="F5" s="10">
        <v>2.0</v>
      </c>
      <c r="G5" s="10">
        <v>3.0</v>
      </c>
      <c r="H5" s="10">
        <v>4.0</v>
      </c>
      <c r="I5" s="10">
        <v>5.0</v>
      </c>
      <c r="J5" s="10">
        <v>6.0</v>
      </c>
      <c r="K5" s="11">
        <v>7.0</v>
      </c>
      <c r="L5" s="12">
        <v>8.0</v>
      </c>
      <c r="M5" s="12">
        <v>9.0</v>
      </c>
      <c r="N5" s="12">
        <v>10.0</v>
      </c>
      <c r="O5" s="13"/>
      <c r="P5" s="14"/>
      <c r="Q5" s="13"/>
      <c r="R5" s="13"/>
      <c r="S5" s="13"/>
      <c r="T5" s="3"/>
      <c r="U5" s="3"/>
      <c r="V5" s="3"/>
      <c r="W5" s="3"/>
      <c r="X5" s="3"/>
      <c r="Y5" s="3"/>
      <c r="Z5" s="3"/>
    </row>
    <row r="6" ht="25.5" customHeight="1">
      <c r="A6" s="15">
        <v>1.0</v>
      </c>
      <c r="B6" s="16" t="s">
        <v>7</v>
      </c>
      <c r="C6" s="17" t="s">
        <v>8</v>
      </c>
      <c r="D6" s="18">
        <v>2.0</v>
      </c>
      <c r="E6" s="18"/>
      <c r="F6" s="18"/>
      <c r="G6" s="18"/>
      <c r="H6" s="18"/>
      <c r="I6" s="18"/>
      <c r="J6" s="18"/>
      <c r="K6" s="18"/>
      <c r="L6" s="18"/>
      <c r="M6" s="19"/>
      <c r="N6" s="18"/>
      <c r="O6" s="3"/>
      <c r="P6" s="14"/>
      <c r="Q6" s="3"/>
      <c r="R6" s="3"/>
      <c r="S6" s="3"/>
      <c r="T6" s="3"/>
      <c r="U6" s="3"/>
      <c r="V6" s="3"/>
      <c r="W6" s="3"/>
      <c r="X6" s="3"/>
      <c r="Y6" s="3"/>
      <c r="Z6" s="3"/>
    </row>
    <row r="7" ht="25.5" customHeight="1">
      <c r="A7" s="20"/>
      <c r="B7" s="20"/>
      <c r="C7" s="17" t="s">
        <v>9</v>
      </c>
      <c r="D7" s="18">
        <v>2.0</v>
      </c>
      <c r="E7" s="18"/>
      <c r="F7" s="18"/>
      <c r="G7" s="18"/>
      <c r="H7" s="18"/>
      <c r="I7" s="18"/>
      <c r="J7" s="18"/>
      <c r="K7" s="18"/>
      <c r="L7" s="18"/>
      <c r="M7" s="19"/>
      <c r="N7" s="18"/>
      <c r="O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5.5" customHeight="1">
      <c r="A8" s="20"/>
      <c r="B8" s="20"/>
      <c r="C8" s="17" t="s">
        <v>10</v>
      </c>
      <c r="D8" s="18">
        <v>5.0</v>
      </c>
      <c r="E8" s="18"/>
      <c r="F8" s="18"/>
      <c r="G8" s="18"/>
      <c r="H8" s="18"/>
      <c r="I8" s="18"/>
      <c r="J8" s="18"/>
      <c r="K8" s="18"/>
      <c r="L8" s="18"/>
      <c r="M8" s="19"/>
      <c r="N8" s="18"/>
      <c r="O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5.5" customHeight="1">
      <c r="A9" s="20"/>
      <c r="B9" s="20"/>
      <c r="C9" s="17" t="s">
        <v>11</v>
      </c>
      <c r="D9" s="18">
        <v>8.0</v>
      </c>
      <c r="E9" s="18"/>
      <c r="F9" s="18"/>
      <c r="G9" s="18"/>
      <c r="H9" s="18"/>
      <c r="I9" s="18"/>
      <c r="J9" s="18"/>
      <c r="K9" s="18"/>
      <c r="L9" s="18"/>
      <c r="M9" s="19"/>
      <c r="N9" s="18"/>
      <c r="O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5.5" customHeight="1">
      <c r="A10" s="9"/>
      <c r="B10" s="9"/>
      <c r="C10" s="21" t="s">
        <v>12</v>
      </c>
      <c r="D10" s="18">
        <v>12.0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5.5" customHeight="1">
      <c r="A11" s="15">
        <v>2.0</v>
      </c>
      <c r="B11" s="16" t="s">
        <v>13</v>
      </c>
      <c r="C11" s="17" t="s">
        <v>14</v>
      </c>
      <c r="D11" s="18">
        <v>2.0</v>
      </c>
      <c r="E11" s="18"/>
      <c r="F11" s="18"/>
      <c r="G11" s="18"/>
      <c r="H11" s="18"/>
      <c r="I11" s="18"/>
      <c r="J11" s="18"/>
      <c r="K11" s="18"/>
      <c r="L11" s="18"/>
      <c r="M11" s="19"/>
      <c r="N11" s="18"/>
      <c r="O11" s="3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5.5" customHeight="1">
      <c r="A12" s="20"/>
      <c r="B12" s="20"/>
      <c r="C12" s="17" t="s">
        <v>15</v>
      </c>
      <c r="D12" s="18">
        <v>4.0</v>
      </c>
      <c r="E12" s="18"/>
      <c r="F12" s="18"/>
      <c r="G12" s="18"/>
      <c r="H12" s="18"/>
      <c r="I12" s="18"/>
      <c r="J12" s="18"/>
      <c r="K12" s="18"/>
      <c r="L12" s="18"/>
      <c r="M12" s="19"/>
      <c r="N12" s="18"/>
      <c r="O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5.5" customHeight="1">
      <c r="A13" s="20"/>
      <c r="B13" s="20"/>
      <c r="C13" s="17" t="s">
        <v>16</v>
      </c>
      <c r="D13" s="18">
        <v>2.0</v>
      </c>
      <c r="E13" s="18"/>
      <c r="F13" s="18"/>
      <c r="G13" s="18"/>
      <c r="H13" s="18"/>
      <c r="I13" s="18"/>
      <c r="J13" s="18"/>
      <c r="K13" s="18"/>
      <c r="L13" s="18"/>
      <c r="M13" s="19"/>
      <c r="N13" s="18"/>
      <c r="O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5.5" customHeight="1">
      <c r="A14" s="20"/>
      <c r="B14" s="20"/>
      <c r="C14" s="17" t="s">
        <v>17</v>
      </c>
      <c r="D14" s="18">
        <v>2.0</v>
      </c>
      <c r="E14" s="18"/>
      <c r="F14" s="18"/>
      <c r="G14" s="18"/>
      <c r="H14" s="18"/>
      <c r="I14" s="18"/>
      <c r="J14" s="18"/>
      <c r="K14" s="18"/>
      <c r="L14" s="18"/>
      <c r="M14" s="19"/>
      <c r="N14" s="18"/>
      <c r="O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5.5" customHeight="1">
      <c r="A15" s="20"/>
      <c r="B15" s="20"/>
      <c r="C15" s="17" t="s">
        <v>18</v>
      </c>
      <c r="D15" s="18">
        <v>5.0</v>
      </c>
      <c r="E15" s="18"/>
      <c r="F15" s="18"/>
      <c r="G15" s="18"/>
      <c r="H15" s="18"/>
      <c r="I15" s="18"/>
      <c r="J15" s="18"/>
      <c r="K15" s="18"/>
      <c r="L15" s="18"/>
      <c r="M15" s="19"/>
      <c r="N15" s="18"/>
      <c r="O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5.5" customHeight="1">
      <c r="A16" s="20"/>
      <c r="B16" s="20"/>
      <c r="C16" s="17" t="s">
        <v>19</v>
      </c>
      <c r="D16" s="18">
        <v>2.0</v>
      </c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5.5" customHeight="1">
      <c r="A17" s="20"/>
      <c r="B17" s="20"/>
      <c r="C17" s="22" t="s">
        <v>20</v>
      </c>
      <c r="D17" s="23">
        <v>6.0</v>
      </c>
      <c r="E17" s="23"/>
      <c r="F17" s="23"/>
      <c r="G17" s="23"/>
      <c r="H17" s="23"/>
      <c r="I17" s="23"/>
      <c r="J17" s="18"/>
      <c r="K17" s="18"/>
      <c r="L17" s="18"/>
      <c r="M17" s="19"/>
      <c r="N17" s="18"/>
      <c r="O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.5" customHeight="1">
      <c r="A18" s="20"/>
      <c r="B18" s="20"/>
      <c r="C18" s="22" t="s">
        <v>21</v>
      </c>
      <c r="D18" s="23">
        <v>3.0</v>
      </c>
      <c r="E18" s="23"/>
      <c r="F18" s="23"/>
      <c r="G18" s="23"/>
      <c r="H18" s="23"/>
      <c r="I18" s="23"/>
      <c r="J18" s="18"/>
      <c r="K18" s="18"/>
      <c r="L18" s="18"/>
      <c r="M18" s="19"/>
      <c r="N18" s="18"/>
      <c r="O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5.5" customHeight="1">
      <c r="A19" s="20"/>
      <c r="B19" s="20"/>
      <c r="C19" s="24" t="s">
        <v>22</v>
      </c>
      <c r="D19" s="18">
        <v>3.0</v>
      </c>
      <c r="E19" s="18"/>
      <c r="F19" s="18"/>
      <c r="G19" s="18"/>
      <c r="H19" s="18"/>
      <c r="I19" s="18"/>
      <c r="J19" s="18"/>
      <c r="K19" s="18"/>
      <c r="L19" s="18"/>
      <c r="M19" s="19"/>
      <c r="N19" s="18"/>
      <c r="O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5" customHeight="1">
      <c r="A20" s="20"/>
      <c r="B20" s="20"/>
      <c r="C20" s="17" t="s">
        <v>23</v>
      </c>
      <c r="D20" s="18">
        <v>1.0</v>
      </c>
      <c r="E20" s="18"/>
      <c r="F20" s="18"/>
      <c r="G20" s="18"/>
      <c r="H20" s="18"/>
      <c r="I20" s="18"/>
      <c r="J20" s="18"/>
      <c r="K20" s="18"/>
      <c r="L20" s="18"/>
      <c r="M20" s="19"/>
      <c r="N20" s="18"/>
      <c r="O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5" customHeight="1">
      <c r="A21" s="20"/>
      <c r="B21" s="20"/>
      <c r="C21" s="17" t="s">
        <v>24</v>
      </c>
      <c r="D21" s="18">
        <v>1.0</v>
      </c>
      <c r="E21" s="18"/>
      <c r="F21" s="18"/>
      <c r="G21" s="18"/>
      <c r="H21" s="18"/>
      <c r="I21" s="18"/>
      <c r="J21" s="18"/>
      <c r="K21" s="18"/>
      <c r="L21" s="18"/>
      <c r="M21" s="19"/>
      <c r="N21" s="18"/>
      <c r="O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5" customHeight="1">
      <c r="A22" s="20"/>
      <c r="B22" s="20"/>
      <c r="C22" s="17" t="s">
        <v>25</v>
      </c>
      <c r="D22" s="18">
        <v>2.0</v>
      </c>
      <c r="E22" s="18"/>
      <c r="F22" s="18"/>
      <c r="G22" s="18"/>
      <c r="H22" s="18"/>
      <c r="I22" s="18"/>
      <c r="J22" s="18"/>
      <c r="K22" s="18"/>
      <c r="L22" s="18"/>
      <c r="M22" s="19"/>
      <c r="N22" s="18"/>
      <c r="O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5.5" customHeight="1">
      <c r="A23" s="20"/>
      <c r="B23" s="20"/>
      <c r="C23" s="24" t="s">
        <v>26</v>
      </c>
      <c r="D23" s="23">
        <v>1.0</v>
      </c>
      <c r="E23" s="23"/>
      <c r="F23" s="23"/>
      <c r="G23" s="23"/>
      <c r="H23" s="23"/>
      <c r="I23" s="23"/>
      <c r="J23" s="23"/>
      <c r="K23" s="23"/>
      <c r="L23" s="18"/>
      <c r="M23" s="18"/>
      <c r="N23" s="18"/>
      <c r="O23" s="1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5" customHeight="1">
      <c r="A24" s="20"/>
      <c r="B24" s="20"/>
      <c r="C24" s="22" t="s">
        <v>27</v>
      </c>
      <c r="D24" s="23">
        <v>8.0</v>
      </c>
      <c r="E24" s="23"/>
      <c r="F24" s="23"/>
      <c r="G24" s="18"/>
      <c r="H24" s="18"/>
      <c r="I24" s="18"/>
      <c r="J24" s="18"/>
      <c r="K24" s="18"/>
      <c r="L24" s="18"/>
      <c r="M24" s="18"/>
      <c r="N24" s="18"/>
      <c r="O24" s="1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5.5" customHeight="1">
      <c r="A25" s="20"/>
      <c r="B25" s="20"/>
      <c r="C25" s="21" t="s">
        <v>28</v>
      </c>
      <c r="D25" s="18">
        <v>1.0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5" customHeight="1">
      <c r="A26" s="20"/>
      <c r="B26" s="20"/>
      <c r="C26" s="21" t="s">
        <v>29</v>
      </c>
      <c r="D26" s="18">
        <v>2.0</v>
      </c>
      <c r="E26" s="18"/>
      <c r="F26" s="18"/>
      <c r="G26" s="18"/>
      <c r="H26" s="18"/>
      <c r="I26" s="18"/>
      <c r="J26" s="18"/>
      <c r="K26" s="18"/>
      <c r="L26" s="18"/>
      <c r="M26" s="25"/>
      <c r="N26" s="18"/>
      <c r="O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5.5" customHeight="1">
      <c r="A27" s="9"/>
      <c r="B27" s="9"/>
      <c r="C27" s="21" t="s">
        <v>30</v>
      </c>
      <c r="D27" s="18">
        <v>8.0</v>
      </c>
      <c r="E27" s="18"/>
      <c r="F27" s="18"/>
      <c r="G27" s="18"/>
      <c r="H27" s="18"/>
      <c r="I27" s="18"/>
      <c r="J27" s="18"/>
      <c r="K27" s="19"/>
      <c r="L27" s="19"/>
      <c r="M27" s="25"/>
      <c r="N27" s="18"/>
      <c r="O27" s="1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5.5" customHeight="1">
      <c r="A28" s="26">
        <v>3.0</v>
      </c>
      <c r="B28" s="27" t="s">
        <v>31</v>
      </c>
      <c r="C28" s="22" t="s">
        <v>32</v>
      </c>
      <c r="D28" s="18">
        <v>16.0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3"/>
      <c r="P28" s="14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5" customHeight="1">
      <c r="A29" s="3"/>
      <c r="B29" s="3"/>
      <c r="C29" s="28" t="s">
        <v>33</v>
      </c>
      <c r="D29" s="29">
        <f t="shared" ref="D29:N29" si="1">SUM(D6:D28)</f>
        <v>98</v>
      </c>
      <c r="E29" s="29">
        <f t="shared" si="1"/>
        <v>0</v>
      </c>
      <c r="F29" s="29">
        <f t="shared" si="1"/>
        <v>0</v>
      </c>
      <c r="G29" s="29">
        <f t="shared" si="1"/>
        <v>0</v>
      </c>
      <c r="H29" s="29">
        <f t="shared" si="1"/>
        <v>0</v>
      </c>
      <c r="I29" s="29">
        <f t="shared" si="1"/>
        <v>0</v>
      </c>
      <c r="J29" s="29">
        <f t="shared" si="1"/>
        <v>0</v>
      </c>
      <c r="K29" s="29">
        <f t="shared" si="1"/>
        <v>0</v>
      </c>
      <c r="L29" s="29">
        <f t="shared" si="1"/>
        <v>0</v>
      </c>
      <c r="M29" s="29">
        <f t="shared" si="1"/>
        <v>0</v>
      </c>
      <c r="N29" s="29">
        <f t="shared" si="1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Z30" s="3"/>
    </row>
    <row r="31" ht="25.5" customHeight="1">
      <c r="A31" s="3"/>
      <c r="B31" s="13"/>
      <c r="C31" s="13"/>
      <c r="D31" s="13"/>
      <c r="E31" s="13"/>
      <c r="F31" s="3"/>
      <c r="G31" s="3"/>
      <c r="H31" s="3"/>
      <c r="I31" s="3"/>
      <c r="J31" s="3"/>
      <c r="K31" s="3"/>
      <c r="L31" s="3"/>
      <c r="M31" s="3"/>
      <c r="N31" s="3"/>
      <c r="O31" s="30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3"/>
    </row>
    <row r="32" ht="25.5" customHeight="1">
      <c r="A32" s="3"/>
      <c r="B32" s="3"/>
      <c r="C32" s="3"/>
      <c r="D32" s="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0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5" customHeight="1">
      <c r="A33" s="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30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"/>
    </row>
    <row r="34" ht="25.5" customHeight="1">
      <c r="A34" s="3"/>
      <c r="B34" s="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5" customHeight="1">
      <c r="A35" s="3"/>
      <c r="B35" s="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5" customHeight="1">
      <c r="A36" s="3"/>
      <c r="B36" s="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5" customHeight="1">
      <c r="A37" s="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5" customHeight="1">
      <c r="A38" s="3"/>
      <c r="B38" s="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5" customHeight="1">
      <c r="A39" s="3"/>
      <c r="B39" s="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5" customHeight="1">
      <c r="A40" s="3"/>
      <c r="B40" s="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5" customHeight="1">
      <c r="A41" s="3"/>
      <c r="B41" s="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5" customHeight="1">
      <c r="A42" s="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5" customHeight="1">
      <c r="A43" s="3"/>
      <c r="B43" s="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5" customHeight="1">
      <c r="A44" s="3"/>
      <c r="B44" s="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5" customHeight="1">
      <c r="A45" s="3"/>
      <c r="B45" s="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5" customHeight="1">
      <c r="A46" s="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5" customHeight="1">
      <c r="A47" s="3"/>
      <c r="B47" s="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5" customHeight="1">
      <c r="A48" s="3"/>
      <c r="B48" s="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5" customHeight="1">
      <c r="A49" s="3"/>
      <c r="B49" s="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5" customHeight="1">
      <c r="A50" s="3"/>
      <c r="B50" s="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5.5" customHeight="1">
      <c r="A51" s="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5.5" customHeight="1">
      <c r="A52" s="3"/>
      <c r="B52" s="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5.5" customHeight="1">
      <c r="A53" s="3"/>
      <c r="B53" s="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5.5" customHeight="1">
      <c r="A54" s="3"/>
      <c r="B54" s="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5.5" customHeight="1">
      <c r="A55" s="3"/>
      <c r="B55" s="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5" customHeight="1">
      <c r="A56" s="3"/>
      <c r="B56" s="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5.5" customHeight="1">
      <c r="A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5.5" customHeight="1">
      <c r="A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5" customHeight="1">
      <c r="A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5.5" customHeight="1">
      <c r="A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5" customHeight="1">
      <c r="A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5.5" customHeight="1">
      <c r="A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5.5" customHeight="1">
      <c r="A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5" customHeight="1">
      <c r="A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5.5" customHeight="1">
      <c r="A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5.5" customHeight="1">
      <c r="A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5.5" customHeight="1">
      <c r="A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5.5" customHeight="1">
      <c r="A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10">
    <mergeCell ref="A6:A10"/>
    <mergeCell ref="A11:A27"/>
    <mergeCell ref="B11:B27"/>
    <mergeCell ref="A1:K1"/>
    <mergeCell ref="A4:A5"/>
    <mergeCell ref="B4:B5"/>
    <mergeCell ref="C4:C5"/>
    <mergeCell ref="D4:D5"/>
    <mergeCell ref="E4:N4"/>
    <mergeCell ref="B6:B1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6.71"/>
    <col customWidth="1" min="3" max="3" width="60.71"/>
    <col customWidth="1" min="4" max="4" width="20.14"/>
    <col customWidth="1" min="5" max="14" width="6.71"/>
    <col customWidth="1" min="15" max="15" width="31.0"/>
    <col customWidth="1" min="16" max="16" width="8.71"/>
    <col customWidth="1" min="17" max="17" width="8.0"/>
    <col customWidth="1" min="18" max="26" width="8.71"/>
  </cols>
  <sheetData>
    <row r="1" ht="25.5" customHeight="1">
      <c r="A1" s="1" t="s">
        <v>0</v>
      </c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3" t="s">
        <v>1</v>
      </c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/>
      <c r="G4" s="7"/>
      <c r="H4" s="7"/>
      <c r="I4" s="7"/>
      <c r="J4" s="7"/>
      <c r="K4" s="7"/>
      <c r="L4" s="7"/>
      <c r="M4" s="7"/>
      <c r="N4" s="8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9"/>
      <c r="B5" s="9"/>
      <c r="C5" s="9"/>
      <c r="D5" s="9"/>
      <c r="E5" s="10">
        <v>1.0</v>
      </c>
      <c r="F5" s="10">
        <v>2.0</v>
      </c>
      <c r="G5" s="10">
        <v>3.0</v>
      </c>
      <c r="H5" s="10">
        <v>4.0</v>
      </c>
      <c r="I5" s="10">
        <v>5.0</v>
      </c>
      <c r="J5" s="10">
        <v>6.0</v>
      </c>
      <c r="K5" s="11">
        <v>7.0</v>
      </c>
      <c r="L5" s="12">
        <v>8.0</v>
      </c>
      <c r="M5" s="12">
        <v>9.0</v>
      </c>
      <c r="N5" s="12">
        <v>10.0</v>
      </c>
      <c r="O5" s="13"/>
      <c r="P5" s="32" t="s">
        <v>34</v>
      </c>
      <c r="Q5" s="33" t="s">
        <v>35</v>
      </c>
      <c r="R5" s="34"/>
      <c r="S5" s="34"/>
      <c r="T5" s="35"/>
      <c r="U5" s="35"/>
      <c r="V5" s="35"/>
      <c r="W5" s="35"/>
      <c r="X5" s="35"/>
      <c r="Y5" s="35"/>
      <c r="Z5" s="36"/>
    </row>
    <row r="6" ht="25.5" customHeight="1">
      <c r="A6" s="15">
        <v>1.0</v>
      </c>
      <c r="B6" s="16" t="s">
        <v>36</v>
      </c>
      <c r="C6" s="37" t="s">
        <v>8</v>
      </c>
      <c r="D6" s="18">
        <v>2.0</v>
      </c>
      <c r="E6" s="38">
        <v>2.0</v>
      </c>
      <c r="F6" s="38">
        <v>2.0</v>
      </c>
      <c r="G6" s="18">
        <v>0.0</v>
      </c>
      <c r="H6" s="18">
        <v>0.0</v>
      </c>
      <c r="I6" s="18">
        <v>0.0</v>
      </c>
      <c r="J6" s="18">
        <v>0.0</v>
      </c>
      <c r="K6" s="18">
        <v>0.0</v>
      </c>
      <c r="L6" s="18">
        <v>0.0</v>
      </c>
      <c r="M6" s="19">
        <v>0.0</v>
      </c>
      <c r="N6" s="18">
        <v>0.0</v>
      </c>
      <c r="O6" s="3"/>
      <c r="P6" s="39">
        <v>1.0</v>
      </c>
      <c r="Q6" s="40">
        <f t="shared" ref="Q6:Z6" si="1">SUM(E6:E10)</f>
        <v>29</v>
      </c>
      <c r="R6" s="35">
        <f t="shared" si="1"/>
        <v>29</v>
      </c>
      <c r="S6" s="35">
        <f t="shared" si="1"/>
        <v>27</v>
      </c>
      <c r="T6" s="35">
        <f t="shared" si="1"/>
        <v>25</v>
      </c>
      <c r="U6" s="35">
        <f t="shared" si="1"/>
        <v>20</v>
      </c>
      <c r="V6" s="35">
        <f t="shared" si="1"/>
        <v>12</v>
      </c>
      <c r="W6" s="35">
        <f t="shared" si="1"/>
        <v>12</v>
      </c>
      <c r="X6" s="35">
        <f t="shared" si="1"/>
        <v>12</v>
      </c>
      <c r="Y6" s="35">
        <f t="shared" si="1"/>
        <v>0</v>
      </c>
      <c r="Z6" s="36">
        <f t="shared" si="1"/>
        <v>0</v>
      </c>
    </row>
    <row r="7" ht="25.5" customHeight="1">
      <c r="A7" s="20"/>
      <c r="B7" s="20"/>
      <c r="C7" s="37" t="s">
        <v>9</v>
      </c>
      <c r="D7" s="18">
        <v>2.0</v>
      </c>
      <c r="E7" s="38">
        <v>2.0</v>
      </c>
      <c r="F7" s="38">
        <v>2.0</v>
      </c>
      <c r="G7" s="18">
        <v>2.0</v>
      </c>
      <c r="H7" s="18">
        <v>0.0</v>
      </c>
      <c r="I7" s="18">
        <v>0.0</v>
      </c>
      <c r="J7" s="18">
        <v>0.0</v>
      </c>
      <c r="K7" s="18">
        <v>0.0</v>
      </c>
      <c r="L7" s="18">
        <v>0.0</v>
      </c>
      <c r="M7" s="19">
        <v>0.0</v>
      </c>
      <c r="N7" s="18">
        <v>0.0</v>
      </c>
      <c r="O7" s="3"/>
      <c r="P7" s="41"/>
      <c r="Q7" s="42"/>
      <c r="R7" s="3"/>
      <c r="S7" s="3"/>
      <c r="T7" s="3"/>
      <c r="U7" s="3"/>
      <c r="V7" s="3"/>
      <c r="W7" s="3"/>
      <c r="X7" s="3"/>
      <c r="Y7" s="3"/>
      <c r="Z7" s="43"/>
    </row>
    <row r="8" ht="25.5" customHeight="1">
      <c r="A8" s="20"/>
      <c r="B8" s="20"/>
      <c r="C8" s="37" t="s">
        <v>10</v>
      </c>
      <c r="D8" s="18">
        <v>5.0</v>
      </c>
      <c r="E8" s="38">
        <v>5.0</v>
      </c>
      <c r="F8" s="38">
        <v>5.0</v>
      </c>
      <c r="G8" s="38">
        <v>5.0</v>
      </c>
      <c r="H8" s="18">
        <v>5.0</v>
      </c>
      <c r="I8" s="18">
        <v>0.0</v>
      </c>
      <c r="J8" s="18">
        <v>0.0</v>
      </c>
      <c r="K8" s="18">
        <v>0.0</v>
      </c>
      <c r="L8" s="18">
        <v>0.0</v>
      </c>
      <c r="M8" s="19">
        <v>0.0</v>
      </c>
      <c r="N8" s="18">
        <v>0.0</v>
      </c>
      <c r="O8" s="3"/>
      <c r="P8" s="41"/>
      <c r="Q8" s="42"/>
      <c r="R8" s="3"/>
      <c r="S8" s="3"/>
      <c r="T8" s="3"/>
      <c r="U8" s="3"/>
      <c r="V8" s="3"/>
      <c r="W8" s="3"/>
      <c r="X8" s="3"/>
      <c r="Y8" s="3"/>
      <c r="Z8" s="43"/>
    </row>
    <row r="9" ht="25.5" customHeight="1">
      <c r="A9" s="20"/>
      <c r="B9" s="20"/>
      <c r="C9" s="37" t="s">
        <v>11</v>
      </c>
      <c r="D9" s="18">
        <v>8.0</v>
      </c>
      <c r="E9" s="38">
        <v>8.0</v>
      </c>
      <c r="F9" s="38">
        <v>8.0</v>
      </c>
      <c r="G9" s="38">
        <v>8.0</v>
      </c>
      <c r="H9" s="18">
        <v>8.0</v>
      </c>
      <c r="I9" s="18">
        <v>8.0</v>
      </c>
      <c r="J9" s="18">
        <v>0.0</v>
      </c>
      <c r="K9" s="18">
        <v>0.0</v>
      </c>
      <c r="L9" s="18">
        <v>0.0</v>
      </c>
      <c r="M9" s="19">
        <v>0.0</v>
      </c>
      <c r="N9" s="18">
        <v>0.0</v>
      </c>
      <c r="O9" s="3"/>
      <c r="P9" s="41"/>
      <c r="Q9" s="42"/>
      <c r="R9" s="3"/>
      <c r="S9" s="3"/>
      <c r="T9" s="3"/>
      <c r="U9" s="3"/>
      <c r="V9" s="3"/>
      <c r="W9" s="3"/>
      <c r="X9" s="3"/>
      <c r="Y9" s="3"/>
      <c r="Z9" s="43"/>
    </row>
    <row r="10" ht="25.5" customHeight="1">
      <c r="A10" s="9"/>
      <c r="B10" s="9"/>
      <c r="C10" s="44" t="s">
        <v>12</v>
      </c>
      <c r="D10" s="18">
        <v>12.0</v>
      </c>
      <c r="E10" s="38">
        <v>12.0</v>
      </c>
      <c r="F10" s="38">
        <v>12.0</v>
      </c>
      <c r="G10" s="38">
        <v>12.0</v>
      </c>
      <c r="H10" s="38">
        <v>12.0</v>
      </c>
      <c r="I10" s="38">
        <v>12.0</v>
      </c>
      <c r="J10" s="38">
        <v>12.0</v>
      </c>
      <c r="K10" s="38">
        <v>12.0</v>
      </c>
      <c r="L10" s="38">
        <v>12.0</v>
      </c>
      <c r="M10" s="18">
        <v>0.0</v>
      </c>
      <c r="N10" s="18">
        <v>0.0</v>
      </c>
      <c r="O10" s="3"/>
      <c r="P10" s="45"/>
      <c r="Q10" s="42"/>
      <c r="R10" s="3"/>
      <c r="S10" s="3"/>
      <c r="T10" s="3"/>
      <c r="U10" s="3"/>
      <c r="V10" s="3"/>
      <c r="W10" s="3"/>
      <c r="X10" s="3"/>
      <c r="Y10" s="3"/>
      <c r="Z10" s="43"/>
    </row>
    <row r="11" ht="25.5" customHeight="1">
      <c r="A11" s="15">
        <v>2.0</v>
      </c>
      <c r="B11" s="16"/>
      <c r="C11" s="46" t="s">
        <v>14</v>
      </c>
      <c r="D11" s="18">
        <v>2.0</v>
      </c>
      <c r="E11" s="38">
        <v>2.0</v>
      </c>
      <c r="F11" s="38">
        <v>2.0</v>
      </c>
      <c r="G11" s="38">
        <v>2.0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9">
        <v>0.0</v>
      </c>
      <c r="N11" s="18">
        <v>0.0</v>
      </c>
      <c r="O11" s="3"/>
      <c r="P11" s="39">
        <v>2.0</v>
      </c>
      <c r="Q11" s="40">
        <f t="shared" ref="Q11:Z11" si="2">SUM(E11:E27)</f>
        <v>53</v>
      </c>
      <c r="R11" s="35">
        <f t="shared" si="2"/>
        <v>53</v>
      </c>
      <c r="S11" s="35">
        <f t="shared" si="2"/>
        <v>53</v>
      </c>
      <c r="T11" s="35">
        <f t="shared" si="2"/>
        <v>47</v>
      </c>
      <c r="U11" s="35">
        <f t="shared" si="2"/>
        <v>47</v>
      </c>
      <c r="V11" s="35">
        <f t="shared" si="2"/>
        <v>24</v>
      </c>
      <c r="W11" s="35">
        <f t="shared" si="2"/>
        <v>20</v>
      </c>
      <c r="X11" s="35">
        <f t="shared" si="2"/>
        <v>19</v>
      </c>
      <c r="Y11" s="35">
        <f t="shared" si="2"/>
        <v>0</v>
      </c>
      <c r="Z11" s="36">
        <f t="shared" si="2"/>
        <v>0</v>
      </c>
    </row>
    <row r="12" ht="25.5" customHeight="1">
      <c r="A12" s="20"/>
      <c r="B12" s="20"/>
      <c r="C12" s="46" t="s">
        <v>15</v>
      </c>
      <c r="D12" s="18">
        <v>4.0</v>
      </c>
      <c r="E12" s="38">
        <v>4.0</v>
      </c>
      <c r="F12" s="38">
        <v>4.0</v>
      </c>
      <c r="G12" s="38">
        <v>4.0</v>
      </c>
      <c r="H12" s="38">
        <v>4.0</v>
      </c>
      <c r="I12" s="38">
        <v>4.0</v>
      </c>
      <c r="J12" s="18">
        <v>0.0</v>
      </c>
      <c r="K12" s="18">
        <v>0.0</v>
      </c>
      <c r="L12" s="18">
        <v>0.0</v>
      </c>
      <c r="M12" s="19">
        <v>0.0</v>
      </c>
      <c r="N12" s="18">
        <v>0.0</v>
      </c>
      <c r="O12" s="3"/>
      <c r="P12" s="41"/>
      <c r="Q12" s="42"/>
      <c r="R12" s="3"/>
      <c r="S12" s="3"/>
      <c r="T12" s="3"/>
      <c r="U12" s="3"/>
      <c r="V12" s="3"/>
      <c r="W12" s="3"/>
      <c r="X12" s="3"/>
      <c r="Y12" s="3"/>
      <c r="Z12" s="43"/>
    </row>
    <row r="13" ht="25.5" customHeight="1">
      <c r="A13" s="20"/>
      <c r="B13" s="20"/>
      <c r="C13" s="46" t="s">
        <v>16</v>
      </c>
      <c r="D13" s="18">
        <v>2.0</v>
      </c>
      <c r="E13" s="38">
        <v>2.0</v>
      </c>
      <c r="F13" s="38">
        <v>2.0</v>
      </c>
      <c r="G13" s="38">
        <v>2.0</v>
      </c>
      <c r="H13" s="18">
        <v>0.0</v>
      </c>
      <c r="I13" s="18">
        <v>0.0</v>
      </c>
      <c r="J13" s="18">
        <v>0.0</v>
      </c>
      <c r="K13" s="18">
        <v>0.0</v>
      </c>
      <c r="L13" s="18">
        <v>0.0</v>
      </c>
      <c r="M13" s="19">
        <v>0.0</v>
      </c>
      <c r="N13" s="18">
        <v>0.0</v>
      </c>
      <c r="O13" s="3"/>
      <c r="P13" s="41"/>
      <c r="Q13" s="42"/>
      <c r="R13" s="3"/>
      <c r="S13" s="3"/>
      <c r="T13" s="3"/>
      <c r="U13" s="3"/>
      <c r="V13" s="3"/>
      <c r="W13" s="3"/>
      <c r="X13" s="3"/>
      <c r="Y13" s="3"/>
      <c r="Z13" s="43"/>
    </row>
    <row r="14" ht="25.5" customHeight="1">
      <c r="A14" s="20"/>
      <c r="B14" s="20"/>
      <c r="C14" s="46" t="s">
        <v>17</v>
      </c>
      <c r="D14" s="18">
        <v>2.0</v>
      </c>
      <c r="E14" s="38">
        <v>2.0</v>
      </c>
      <c r="F14" s="38">
        <v>2.0</v>
      </c>
      <c r="G14" s="38">
        <v>2.0</v>
      </c>
      <c r="H14" s="18">
        <v>0.0</v>
      </c>
      <c r="I14" s="18">
        <v>0.0</v>
      </c>
      <c r="J14" s="18">
        <v>0.0</v>
      </c>
      <c r="K14" s="18">
        <v>0.0</v>
      </c>
      <c r="L14" s="18">
        <v>0.0</v>
      </c>
      <c r="M14" s="19">
        <v>0.0</v>
      </c>
      <c r="N14" s="18">
        <v>0.0</v>
      </c>
      <c r="O14" s="3"/>
      <c r="P14" s="41"/>
      <c r="Q14" s="42"/>
      <c r="R14" s="3"/>
      <c r="S14" s="3"/>
      <c r="T14" s="3"/>
      <c r="U14" s="3"/>
      <c r="V14" s="3"/>
      <c r="W14" s="3"/>
      <c r="X14" s="3"/>
      <c r="Y14" s="3"/>
      <c r="Z14" s="43"/>
    </row>
    <row r="15" ht="25.5" customHeight="1">
      <c r="A15" s="20"/>
      <c r="B15" s="20"/>
      <c r="C15" s="46" t="s">
        <v>18</v>
      </c>
      <c r="D15" s="18">
        <v>5.0</v>
      </c>
      <c r="E15" s="38">
        <v>5.0</v>
      </c>
      <c r="F15" s="38">
        <v>5.0</v>
      </c>
      <c r="G15" s="38">
        <v>5.0</v>
      </c>
      <c r="H15" s="38">
        <v>5.0</v>
      </c>
      <c r="I15" s="38">
        <v>5.0</v>
      </c>
      <c r="J15" s="18">
        <v>0.0</v>
      </c>
      <c r="K15" s="18">
        <v>0.0</v>
      </c>
      <c r="L15" s="18">
        <v>0.0</v>
      </c>
      <c r="M15" s="19">
        <v>0.0</v>
      </c>
      <c r="N15" s="18">
        <v>0.0</v>
      </c>
      <c r="O15" s="3"/>
      <c r="P15" s="41"/>
      <c r="Q15" s="42"/>
      <c r="R15" s="3"/>
      <c r="S15" s="3"/>
      <c r="T15" s="3"/>
      <c r="U15" s="3"/>
      <c r="V15" s="3"/>
      <c r="W15" s="3"/>
      <c r="X15" s="3"/>
      <c r="Y15" s="3"/>
      <c r="Z15" s="43"/>
    </row>
    <row r="16" ht="25.5" customHeight="1">
      <c r="A16" s="20"/>
      <c r="B16" s="20"/>
      <c r="C16" s="46" t="s">
        <v>19</v>
      </c>
      <c r="D16" s="18">
        <v>2.0</v>
      </c>
      <c r="E16" s="38">
        <v>2.0</v>
      </c>
      <c r="F16" s="38">
        <v>2.0</v>
      </c>
      <c r="G16" s="38">
        <v>2.0</v>
      </c>
      <c r="H16" s="38">
        <v>2.0</v>
      </c>
      <c r="I16" s="38">
        <v>2.0</v>
      </c>
      <c r="J16" s="18">
        <v>0.0</v>
      </c>
      <c r="K16" s="18">
        <v>0.0</v>
      </c>
      <c r="L16" s="18">
        <v>0.0</v>
      </c>
      <c r="M16" s="19">
        <v>0.0</v>
      </c>
      <c r="N16" s="18">
        <v>0.0</v>
      </c>
      <c r="O16" s="3"/>
      <c r="P16" s="41"/>
      <c r="Q16" s="42"/>
      <c r="R16" s="3"/>
      <c r="S16" s="3"/>
      <c r="T16" s="3"/>
      <c r="U16" s="3"/>
      <c r="V16" s="3"/>
      <c r="W16" s="3"/>
      <c r="X16" s="3"/>
      <c r="Y16" s="3"/>
      <c r="Z16" s="43"/>
    </row>
    <row r="17" ht="25.5" customHeight="1">
      <c r="A17" s="20"/>
      <c r="B17" s="20"/>
      <c r="C17" s="47" t="s">
        <v>20</v>
      </c>
      <c r="D17" s="23">
        <v>6.0</v>
      </c>
      <c r="E17" s="48">
        <v>6.0</v>
      </c>
      <c r="F17" s="48">
        <v>6.0</v>
      </c>
      <c r="G17" s="48">
        <v>6.0</v>
      </c>
      <c r="H17" s="48">
        <v>6.0</v>
      </c>
      <c r="I17" s="48">
        <v>6.0</v>
      </c>
      <c r="J17" s="18">
        <v>0.0</v>
      </c>
      <c r="K17" s="18">
        <v>0.0</v>
      </c>
      <c r="L17" s="18">
        <v>0.0</v>
      </c>
      <c r="M17" s="19">
        <v>0.0</v>
      </c>
      <c r="N17" s="18">
        <v>0.0</v>
      </c>
      <c r="O17" s="3"/>
      <c r="P17" s="41"/>
      <c r="Q17" s="42"/>
      <c r="R17" s="3"/>
      <c r="S17" s="3"/>
      <c r="T17" s="3"/>
      <c r="U17" s="3"/>
      <c r="V17" s="3"/>
      <c r="W17" s="3"/>
      <c r="X17" s="3"/>
      <c r="Y17" s="3"/>
      <c r="Z17" s="43"/>
    </row>
    <row r="18" ht="25.5" customHeight="1">
      <c r="A18" s="20"/>
      <c r="B18" s="20"/>
      <c r="C18" s="47" t="s">
        <v>21</v>
      </c>
      <c r="D18" s="23">
        <v>3.0</v>
      </c>
      <c r="E18" s="48">
        <v>3.0</v>
      </c>
      <c r="F18" s="48">
        <v>3.0</v>
      </c>
      <c r="G18" s="48">
        <v>3.0</v>
      </c>
      <c r="H18" s="48">
        <v>3.0</v>
      </c>
      <c r="I18" s="48">
        <v>3.0</v>
      </c>
      <c r="J18" s="18">
        <v>0.0</v>
      </c>
      <c r="K18" s="18">
        <v>0.0</v>
      </c>
      <c r="L18" s="18">
        <v>0.0</v>
      </c>
      <c r="M18" s="19">
        <v>0.0</v>
      </c>
      <c r="N18" s="18">
        <v>0.0</v>
      </c>
      <c r="O18" s="3"/>
      <c r="P18" s="41"/>
      <c r="Q18" s="42"/>
      <c r="R18" s="3"/>
      <c r="S18" s="3"/>
      <c r="T18" s="3"/>
      <c r="U18" s="3"/>
      <c r="V18" s="3"/>
      <c r="W18" s="3"/>
      <c r="X18" s="3"/>
      <c r="Y18" s="3"/>
      <c r="Z18" s="43"/>
    </row>
    <row r="19" ht="25.5" customHeight="1">
      <c r="A19" s="20"/>
      <c r="B19" s="20"/>
      <c r="C19" s="49" t="s">
        <v>22</v>
      </c>
      <c r="D19" s="18">
        <v>3.0</v>
      </c>
      <c r="E19" s="38">
        <v>3.0</v>
      </c>
      <c r="F19" s="38">
        <v>3.0</v>
      </c>
      <c r="G19" s="38">
        <v>3.0</v>
      </c>
      <c r="H19" s="38">
        <v>3.0</v>
      </c>
      <c r="I19" s="38">
        <v>3.0</v>
      </c>
      <c r="J19" s="18">
        <v>0.0</v>
      </c>
      <c r="K19" s="18">
        <v>0.0</v>
      </c>
      <c r="L19" s="18">
        <v>0.0</v>
      </c>
      <c r="M19" s="19">
        <v>0.0</v>
      </c>
      <c r="N19" s="18">
        <v>0.0</v>
      </c>
      <c r="O19" s="3"/>
      <c r="P19" s="41"/>
      <c r="Q19" s="42"/>
      <c r="R19" s="3"/>
      <c r="S19" s="3"/>
      <c r="T19" s="3"/>
      <c r="U19" s="3"/>
      <c r="V19" s="3"/>
      <c r="W19" s="3"/>
      <c r="X19" s="3"/>
      <c r="Y19" s="3"/>
      <c r="Z19" s="43"/>
    </row>
    <row r="20" ht="25.5" customHeight="1">
      <c r="A20" s="20"/>
      <c r="B20" s="20"/>
      <c r="C20" s="50" t="s">
        <v>23</v>
      </c>
      <c r="D20" s="18">
        <v>1.0</v>
      </c>
      <c r="E20" s="38">
        <v>1.0</v>
      </c>
      <c r="F20" s="38">
        <v>1.0</v>
      </c>
      <c r="G20" s="38">
        <v>1.0</v>
      </c>
      <c r="H20" s="38">
        <v>1.0</v>
      </c>
      <c r="I20" s="38">
        <v>1.0</v>
      </c>
      <c r="J20" s="38">
        <v>1.0</v>
      </c>
      <c r="K20" s="18">
        <v>0.0</v>
      </c>
      <c r="L20" s="18">
        <v>0.0</v>
      </c>
      <c r="M20" s="19">
        <v>0.0</v>
      </c>
      <c r="N20" s="18">
        <v>0.0</v>
      </c>
      <c r="O20" s="3"/>
      <c r="P20" s="41"/>
      <c r="Q20" s="42"/>
      <c r="R20" s="3"/>
      <c r="S20" s="3"/>
      <c r="T20" s="3"/>
      <c r="U20" s="3"/>
      <c r="V20" s="3"/>
      <c r="W20" s="3"/>
      <c r="X20" s="3"/>
      <c r="Y20" s="3"/>
      <c r="Z20" s="43"/>
    </row>
    <row r="21" ht="25.5" customHeight="1">
      <c r="A21" s="20"/>
      <c r="B21" s="20"/>
      <c r="C21" s="50" t="s">
        <v>24</v>
      </c>
      <c r="D21" s="18">
        <v>1.0</v>
      </c>
      <c r="E21" s="38">
        <v>1.0</v>
      </c>
      <c r="F21" s="38">
        <v>1.0</v>
      </c>
      <c r="G21" s="38">
        <v>1.0</v>
      </c>
      <c r="H21" s="38">
        <v>1.0</v>
      </c>
      <c r="I21" s="38">
        <v>1.0</v>
      </c>
      <c r="J21" s="38">
        <v>1.0</v>
      </c>
      <c r="K21" s="18">
        <v>0.0</v>
      </c>
      <c r="L21" s="18">
        <v>0.0</v>
      </c>
      <c r="M21" s="19">
        <v>0.0</v>
      </c>
      <c r="N21" s="18">
        <v>0.0</v>
      </c>
      <c r="O21" s="3"/>
      <c r="P21" s="41"/>
      <c r="Q21" s="42"/>
      <c r="R21" s="3"/>
      <c r="S21" s="3"/>
      <c r="T21" s="3"/>
      <c r="U21" s="3"/>
      <c r="V21" s="3"/>
      <c r="W21" s="3"/>
      <c r="X21" s="3"/>
      <c r="Y21" s="3"/>
      <c r="Z21" s="43"/>
    </row>
    <row r="22" ht="25.5" customHeight="1">
      <c r="A22" s="20"/>
      <c r="B22" s="20"/>
      <c r="C22" s="50" t="s">
        <v>25</v>
      </c>
      <c r="D22" s="18">
        <v>2.0</v>
      </c>
      <c r="E22" s="38">
        <v>2.0</v>
      </c>
      <c r="F22" s="38">
        <v>2.0</v>
      </c>
      <c r="G22" s="38">
        <v>2.0</v>
      </c>
      <c r="H22" s="38">
        <v>2.0</v>
      </c>
      <c r="I22" s="38">
        <v>2.0</v>
      </c>
      <c r="J22" s="38">
        <v>2.0</v>
      </c>
      <c r="K22" s="18">
        <v>0.0</v>
      </c>
      <c r="L22" s="18">
        <v>0.0</v>
      </c>
      <c r="M22" s="19">
        <v>0.0</v>
      </c>
      <c r="N22" s="18">
        <v>0.0</v>
      </c>
      <c r="O22" s="3"/>
      <c r="P22" s="41"/>
      <c r="Q22" s="42"/>
      <c r="R22" s="3"/>
      <c r="S22" s="3"/>
      <c r="T22" s="3"/>
      <c r="U22" s="3"/>
      <c r="V22" s="3"/>
      <c r="W22" s="3"/>
      <c r="X22" s="3"/>
      <c r="Y22" s="3"/>
      <c r="Z22" s="43"/>
    </row>
    <row r="23" ht="25.5" customHeight="1">
      <c r="A23" s="20"/>
      <c r="B23" s="20"/>
      <c r="C23" s="51" t="s">
        <v>37</v>
      </c>
      <c r="D23" s="23">
        <v>1.0</v>
      </c>
      <c r="E23" s="48">
        <v>1.0</v>
      </c>
      <c r="F23" s="48">
        <v>1.0</v>
      </c>
      <c r="G23" s="48">
        <v>1.0</v>
      </c>
      <c r="H23" s="48">
        <v>1.0</v>
      </c>
      <c r="I23" s="48">
        <v>1.0</v>
      </c>
      <c r="J23" s="48">
        <v>1.0</v>
      </c>
      <c r="K23" s="48">
        <v>1.0</v>
      </c>
      <c r="L23" s="18">
        <v>0.0</v>
      </c>
      <c r="M23" s="18">
        <v>0.0</v>
      </c>
      <c r="N23" s="18">
        <v>0.0</v>
      </c>
      <c r="O23" s="13" t="s">
        <v>38</v>
      </c>
      <c r="P23" s="41"/>
      <c r="Q23" s="42"/>
      <c r="R23" s="3"/>
      <c r="S23" s="3"/>
      <c r="T23" s="3"/>
      <c r="U23" s="3"/>
      <c r="V23" s="3"/>
      <c r="W23" s="3"/>
      <c r="X23" s="3"/>
      <c r="Y23" s="3"/>
      <c r="Z23" s="43"/>
    </row>
    <row r="24" ht="25.5" customHeight="1">
      <c r="A24" s="20"/>
      <c r="B24" s="20"/>
      <c r="C24" s="52" t="s">
        <v>27</v>
      </c>
      <c r="D24" s="23">
        <v>8.0</v>
      </c>
      <c r="E24" s="48">
        <v>8.0</v>
      </c>
      <c r="F24" s="48">
        <v>8.0</v>
      </c>
      <c r="G24" s="38">
        <v>8.0</v>
      </c>
      <c r="H24" s="38">
        <v>8.0</v>
      </c>
      <c r="I24" s="38">
        <v>8.0</v>
      </c>
      <c r="J24" s="38">
        <v>8.0</v>
      </c>
      <c r="K24" s="38">
        <v>8.0</v>
      </c>
      <c r="L24" s="38">
        <v>8.0</v>
      </c>
      <c r="M24" s="18">
        <v>0.0</v>
      </c>
      <c r="N24" s="18">
        <v>0.0</v>
      </c>
      <c r="O24" s="13" t="s">
        <v>39</v>
      </c>
      <c r="P24" s="41"/>
      <c r="Q24" s="42"/>
      <c r="R24" s="3"/>
      <c r="S24" s="3"/>
      <c r="T24" s="3"/>
      <c r="U24" s="3"/>
      <c r="V24" s="3"/>
      <c r="W24" s="3"/>
      <c r="X24" s="3"/>
      <c r="Y24" s="3"/>
      <c r="Z24" s="43"/>
    </row>
    <row r="25" ht="25.5" customHeight="1">
      <c r="A25" s="20"/>
      <c r="B25" s="20"/>
      <c r="C25" s="53" t="s">
        <v>28</v>
      </c>
      <c r="D25" s="18">
        <v>1.0</v>
      </c>
      <c r="E25" s="38">
        <v>1.0</v>
      </c>
      <c r="F25" s="38">
        <v>1.0</v>
      </c>
      <c r="G25" s="38">
        <v>1.0</v>
      </c>
      <c r="H25" s="38">
        <v>1.0</v>
      </c>
      <c r="I25" s="38">
        <v>1.0</v>
      </c>
      <c r="J25" s="38">
        <v>1.0</v>
      </c>
      <c r="K25" s="38">
        <v>1.0</v>
      </c>
      <c r="L25" s="38">
        <v>1.0</v>
      </c>
      <c r="M25" s="18">
        <v>0.0</v>
      </c>
      <c r="N25" s="18">
        <v>0.0</v>
      </c>
      <c r="O25" s="13" t="s">
        <v>40</v>
      </c>
      <c r="P25" s="41"/>
      <c r="Q25" s="42"/>
      <c r="R25" s="3"/>
      <c r="S25" s="3"/>
      <c r="T25" s="3"/>
      <c r="U25" s="3"/>
      <c r="V25" s="3"/>
      <c r="W25" s="3"/>
      <c r="X25" s="3"/>
      <c r="Y25" s="3"/>
      <c r="Z25" s="43"/>
    </row>
    <row r="26" ht="25.5" customHeight="1">
      <c r="A26" s="20"/>
      <c r="B26" s="20"/>
      <c r="C26" s="53" t="s">
        <v>29</v>
      </c>
      <c r="D26" s="18">
        <v>2.0</v>
      </c>
      <c r="E26" s="38">
        <v>2.0</v>
      </c>
      <c r="F26" s="38">
        <v>2.0</v>
      </c>
      <c r="G26" s="38">
        <v>2.0</v>
      </c>
      <c r="H26" s="38">
        <v>2.0</v>
      </c>
      <c r="I26" s="38">
        <v>2.0</v>
      </c>
      <c r="J26" s="38">
        <v>2.0</v>
      </c>
      <c r="K26" s="38">
        <v>2.0</v>
      </c>
      <c r="L26" s="38">
        <v>2.0</v>
      </c>
      <c r="M26" s="25">
        <v>0.0</v>
      </c>
      <c r="N26" s="18">
        <v>0.0</v>
      </c>
      <c r="O26" s="3"/>
      <c r="P26" s="41"/>
      <c r="Q26" s="42"/>
      <c r="R26" s="3"/>
      <c r="S26" s="3"/>
      <c r="T26" s="3"/>
      <c r="U26" s="3"/>
      <c r="V26" s="3"/>
      <c r="W26" s="3"/>
      <c r="X26" s="3"/>
      <c r="Y26" s="3"/>
      <c r="Z26" s="43"/>
    </row>
    <row r="27" ht="25.5" customHeight="1">
      <c r="A27" s="9"/>
      <c r="B27" s="9"/>
      <c r="C27" s="53" t="s">
        <v>30</v>
      </c>
      <c r="D27" s="18">
        <v>8.0</v>
      </c>
      <c r="E27" s="38">
        <v>8.0</v>
      </c>
      <c r="F27" s="38">
        <v>8.0</v>
      </c>
      <c r="G27" s="38">
        <v>8.0</v>
      </c>
      <c r="H27" s="38">
        <v>8.0</v>
      </c>
      <c r="I27" s="38">
        <v>8.0</v>
      </c>
      <c r="J27" s="38">
        <v>8.0</v>
      </c>
      <c r="K27" s="54">
        <v>8.0</v>
      </c>
      <c r="L27" s="54">
        <v>8.0</v>
      </c>
      <c r="M27" s="25">
        <v>0.0</v>
      </c>
      <c r="N27" s="18">
        <v>0.0</v>
      </c>
      <c r="O27" s="13" t="s">
        <v>41</v>
      </c>
      <c r="P27" s="45"/>
      <c r="Q27" s="42"/>
      <c r="R27" s="3"/>
      <c r="S27" s="3"/>
      <c r="T27" s="3"/>
      <c r="U27" s="3"/>
      <c r="V27" s="3"/>
      <c r="W27" s="3"/>
      <c r="X27" s="3"/>
      <c r="Y27" s="3"/>
      <c r="Z27" s="43"/>
    </row>
    <row r="28" ht="25.5" customHeight="1">
      <c r="A28" s="26">
        <v>3.0</v>
      </c>
      <c r="B28" s="27"/>
      <c r="C28" s="55" t="s">
        <v>42</v>
      </c>
      <c r="D28" s="18">
        <v>16.0</v>
      </c>
      <c r="E28" s="38">
        <v>16.0</v>
      </c>
      <c r="F28" s="38">
        <v>16.0</v>
      </c>
      <c r="G28" s="38">
        <v>16.0</v>
      </c>
      <c r="H28" s="38">
        <v>16.0</v>
      </c>
      <c r="I28" s="38">
        <v>16.0</v>
      </c>
      <c r="J28" s="38">
        <v>16.0</v>
      </c>
      <c r="K28" s="38">
        <v>16.0</v>
      </c>
      <c r="L28" s="38">
        <v>16.0</v>
      </c>
      <c r="M28" s="38">
        <v>16.0</v>
      </c>
      <c r="N28" s="18">
        <v>0.0</v>
      </c>
      <c r="O28" s="3"/>
      <c r="P28" s="32">
        <v>3.0</v>
      </c>
      <c r="Q28" s="56">
        <f t="shared" ref="Q28:Z28" si="3">SUM(E28)</f>
        <v>16</v>
      </c>
      <c r="R28" s="57">
        <f t="shared" si="3"/>
        <v>16</v>
      </c>
      <c r="S28" s="57">
        <f t="shared" si="3"/>
        <v>16</v>
      </c>
      <c r="T28" s="57">
        <f t="shared" si="3"/>
        <v>16</v>
      </c>
      <c r="U28" s="57">
        <f t="shared" si="3"/>
        <v>16</v>
      </c>
      <c r="V28" s="57">
        <f t="shared" si="3"/>
        <v>16</v>
      </c>
      <c r="W28" s="57">
        <f t="shared" si="3"/>
        <v>16</v>
      </c>
      <c r="X28" s="57">
        <f t="shared" si="3"/>
        <v>16</v>
      </c>
      <c r="Y28" s="57">
        <f t="shared" si="3"/>
        <v>16</v>
      </c>
      <c r="Z28" s="58">
        <f t="shared" si="3"/>
        <v>0</v>
      </c>
    </row>
    <row r="29" ht="25.5" customHeight="1">
      <c r="A29" s="3"/>
      <c r="B29" s="3"/>
      <c r="C29" s="59" t="s">
        <v>33</v>
      </c>
      <c r="D29" s="60">
        <f t="shared" ref="D29:N29" si="4">SUM(D6:D28)</f>
        <v>98</v>
      </c>
      <c r="E29" s="60">
        <f t="shared" si="4"/>
        <v>98</v>
      </c>
      <c r="F29" s="60">
        <f t="shared" si="4"/>
        <v>98</v>
      </c>
      <c r="G29" s="60">
        <f t="shared" si="4"/>
        <v>96</v>
      </c>
      <c r="H29" s="60">
        <f t="shared" si="4"/>
        <v>88</v>
      </c>
      <c r="I29" s="60">
        <f t="shared" si="4"/>
        <v>83</v>
      </c>
      <c r="J29" s="60">
        <f t="shared" si="4"/>
        <v>52</v>
      </c>
      <c r="K29" s="60">
        <f t="shared" si="4"/>
        <v>48</v>
      </c>
      <c r="L29" s="60">
        <f t="shared" si="4"/>
        <v>47</v>
      </c>
      <c r="M29" s="60">
        <f t="shared" si="4"/>
        <v>16</v>
      </c>
      <c r="N29" s="60">
        <f t="shared" si="4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Z30" s="3"/>
    </row>
    <row r="31" ht="25.5" customHeight="1">
      <c r="A31" s="3"/>
      <c r="B31" s="13"/>
      <c r="C31" s="13"/>
      <c r="D31" s="13"/>
      <c r="E31" s="13"/>
      <c r="F31" s="3"/>
      <c r="G31" s="3"/>
      <c r="H31" s="3"/>
      <c r="I31" s="3"/>
      <c r="J31" s="3"/>
      <c r="K31" s="3"/>
      <c r="L31" s="3"/>
      <c r="M31" s="3"/>
      <c r="N31" s="3"/>
      <c r="O31" s="61" t="s">
        <v>43</v>
      </c>
      <c r="P31" s="34">
        <v>1.0</v>
      </c>
      <c r="Q31" s="34">
        <v>2.0</v>
      </c>
      <c r="R31" s="34">
        <v>3.0</v>
      </c>
      <c r="S31" s="34">
        <v>4.0</v>
      </c>
      <c r="T31" s="34">
        <v>5.0</v>
      </c>
      <c r="U31" s="34">
        <v>6.0</v>
      </c>
      <c r="V31" s="34">
        <v>7.0</v>
      </c>
      <c r="W31" s="34">
        <v>8.0</v>
      </c>
      <c r="X31" s="34">
        <v>9.0</v>
      </c>
      <c r="Y31" s="62">
        <v>10.0</v>
      </c>
      <c r="Z31" s="3"/>
    </row>
    <row r="32" ht="25.5" customHeight="1">
      <c r="A32" s="3"/>
      <c r="B32" s="3"/>
      <c r="C32" s="3"/>
      <c r="D32" s="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63" t="s">
        <v>44</v>
      </c>
      <c r="P32" s="3">
        <f t="shared" ref="P32:Y32" si="5">SUM(Q6+Q11+Q28)</f>
        <v>98</v>
      </c>
      <c r="Q32" s="3">
        <f t="shared" si="5"/>
        <v>98</v>
      </c>
      <c r="R32" s="3">
        <f t="shared" si="5"/>
        <v>96</v>
      </c>
      <c r="S32" s="3">
        <f t="shared" si="5"/>
        <v>88</v>
      </c>
      <c r="T32" s="3">
        <f t="shared" si="5"/>
        <v>83</v>
      </c>
      <c r="U32" s="3">
        <f t="shared" si="5"/>
        <v>52</v>
      </c>
      <c r="V32" s="3">
        <f t="shared" si="5"/>
        <v>48</v>
      </c>
      <c r="W32" s="3">
        <f t="shared" si="5"/>
        <v>47</v>
      </c>
      <c r="X32" s="3">
        <f t="shared" si="5"/>
        <v>16</v>
      </c>
      <c r="Y32" s="43">
        <f t="shared" si="5"/>
        <v>0</v>
      </c>
      <c r="Z32" s="3"/>
    </row>
    <row r="33" ht="25.5" customHeight="1">
      <c r="A33" s="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64" t="s">
        <v>45</v>
      </c>
      <c r="P33" s="65">
        <f t="shared" ref="P33:Y33" si="6">ROUNDUP((Q6+Q11+Q28)/3,0)</f>
        <v>33</v>
      </c>
      <c r="Q33" s="65">
        <f t="shared" si="6"/>
        <v>33</v>
      </c>
      <c r="R33" s="65">
        <f t="shared" si="6"/>
        <v>32</v>
      </c>
      <c r="S33" s="65">
        <f t="shared" si="6"/>
        <v>30</v>
      </c>
      <c r="T33" s="65">
        <f t="shared" si="6"/>
        <v>28</v>
      </c>
      <c r="U33" s="65">
        <f t="shared" si="6"/>
        <v>18</v>
      </c>
      <c r="V33" s="65">
        <f t="shared" si="6"/>
        <v>16</v>
      </c>
      <c r="W33" s="65">
        <f t="shared" si="6"/>
        <v>16</v>
      </c>
      <c r="X33" s="65">
        <f t="shared" si="6"/>
        <v>6</v>
      </c>
      <c r="Y33" s="66">
        <f t="shared" si="6"/>
        <v>0</v>
      </c>
      <c r="Z33" s="3"/>
    </row>
    <row r="34" ht="25.5" customHeight="1">
      <c r="A34" s="3"/>
      <c r="B34" s="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5" customHeight="1">
      <c r="A35" s="3"/>
      <c r="B35" s="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5" customHeight="1">
      <c r="A36" s="3"/>
      <c r="B36" s="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5" customHeight="1">
      <c r="A37" s="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5" customHeight="1">
      <c r="A38" s="3"/>
      <c r="B38" s="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5" customHeight="1">
      <c r="A39" s="3"/>
      <c r="B39" s="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5" customHeight="1">
      <c r="A40" s="3"/>
      <c r="B40" s="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5" customHeight="1">
      <c r="A41" s="3"/>
      <c r="B41" s="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5" customHeight="1">
      <c r="A42" s="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5" customHeight="1">
      <c r="A43" s="3"/>
      <c r="B43" s="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5" customHeight="1">
      <c r="A44" s="3"/>
      <c r="B44" s="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5" customHeight="1">
      <c r="A45" s="3"/>
      <c r="B45" s="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5" customHeight="1">
      <c r="A46" s="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5" customHeight="1">
      <c r="A47" s="3"/>
      <c r="B47" s="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5" customHeight="1">
      <c r="A48" s="3"/>
      <c r="B48" s="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5" customHeight="1">
      <c r="A49" s="3"/>
      <c r="B49" s="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5" customHeight="1">
      <c r="A50" s="3"/>
      <c r="B50" s="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5.5" customHeight="1">
      <c r="A51" s="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5.5" customHeight="1">
      <c r="A52" s="3"/>
      <c r="B52" s="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5.5" customHeight="1">
      <c r="A53" s="3"/>
      <c r="B53" s="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5.5" customHeight="1">
      <c r="A54" s="3"/>
      <c r="B54" s="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5.5" customHeight="1">
      <c r="A55" s="3"/>
      <c r="B55" s="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5" customHeight="1">
      <c r="A56" s="3"/>
      <c r="B56" s="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5.5" customHeight="1">
      <c r="A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5.5" customHeight="1">
      <c r="A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5" customHeight="1">
      <c r="A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5.5" customHeight="1">
      <c r="A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5" customHeight="1">
      <c r="A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5.5" customHeight="1">
      <c r="A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5.5" customHeight="1">
      <c r="A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5" customHeight="1">
      <c r="A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5.5" customHeight="1">
      <c r="A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5.5" customHeight="1">
      <c r="A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5.5" customHeight="1">
      <c r="A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5.5" customHeight="1">
      <c r="A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10">
    <mergeCell ref="A6:A10"/>
    <mergeCell ref="A11:A27"/>
    <mergeCell ref="B11:B27"/>
    <mergeCell ref="A1:K1"/>
    <mergeCell ref="A4:A5"/>
    <mergeCell ref="B4:B5"/>
    <mergeCell ref="C4:C5"/>
    <mergeCell ref="D4:D5"/>
    <mergeCell ref="E4:N4"/>
    <mergeCell ref="B6:B10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2.14"/>
    <col customWidth="1" min="3" max="3" width="27.14"/>
    <col customWidth="1" min="4" max="4" width="67.86"/>
    <col customWidth="1" min="5" max="7" width="8.86"/>
    <col customWidth="1" min="8" max="8" width="20.86"/>
    <col customWidth="1" min="9" max="26" width="8.86"/>
  </cols>
  <sheetData>
    <row r="1">
      <c r="A1" s="67" t="s">
        <v>46</v>
      </c>
      <c r="B1" s="67" t="s">
        <v>47</v>
      </c>
      <c r="C1" s="68" t="s">
        <v>48</v>
      </c>
      <c r="D1" s="68" t="s">
        <v>49</v>
      </c>
      <c r="E1" s="67" t="s">
        <v>50</v>
      </c>
      <c r="F1" s="67" t="s">
        <v>51</v>
      </c>
    </row>
    <row r="2">
      <c r="A2" s="69" t="s">
        <v>52</v>
      </c>
      <c r="B2" s="70" t="s">
        <v>53</v>
      </c>
      <c r="C2" s="71" t="s">
        <v>8</v>
      </c>
      <c r="D2" s="71" t="s">
        <v>54</v>
      </c>
      <c r="E2" s="72">
        <v>2.0</v>
      </c>
      <c r="F2" s="72">
        <v>1.0</v>
      </c>
    </row>
    <row r="3">
      <c r="A3" s="20"/>
      <c r="B3" s="70" t="s">
        <v>55</v>
      </c>
      <c r="C3" s="71" t="s">
        <v>9</v>
      </c>
      <c r="D3" s="71" t="s">
        <v>56</v>
      </c>
      <c r="E3" s="72">
        <v>2.0</v>
      </c>
      <c r="F3" s="72">
        <v>1.0</v>
      </c>
    </row>
    <row r="4">
      <c r="A4" s="20"/>
      <c r="B4" s="70" t="s">
        <v>57</v>
      </c>
      <c r="C4" s="71" t="s">
        <v>10</v>
      </c>
      <c r="D4" s="71" t="s">
        <v>58</v>
      </c>
      <c r="E4" s="72">
        <v>5.0</v>
      </c>
      <c r="F4" s="72">
        <v>1.0</v>
      </c>
    </row>
    <row r="5">
      <c r="A5" s="20"/>
      <c r="B5" s="70" t="s">
        <v>59</v>
      </c>
      <c r="C5" s="71" t="s">
        <v>11</v>
      </c>
      <c r="D5" s="71" t="s">
        <v>60</v>
      </c>
      <c r="E5" s="72">
        <v>8.0</v>
      </c>
      <c r="F5" s="72">
        <v>1.0</v>
      </c>
    </row>
    <row r="6">
      <c r="A6" s="20"/>
      <c r="B6" s="73" t="s">
        <v>61</v>
      </c>
      <c r="C6" s="74" t="s">
        <v>62</v>
      </c>
      <c r="D6" s="71"/>
      <c r="E6" s="74">
        <v>12.0</v>
      </c>
      <c r="F6" s="75" t="s">
        <v>63</v>
      </c>
    </row>
    <row r="7">
      <c r="A7" s="20"/>
      <c r="B7" s="70" t="s">
        <v>64</v>
      </c>
      <c r="C7" s="71" t="s">
        <v>14</v>
      </c>
      <c r="D7" s="71" t="s">
        <v>65</v>
      </c>
      <c r="E7" s="72">
        <v>2.0</v>
      </c>
      <c r="F7" s="72">
        <v>2.0</v>
      </c>
    </row>
    <row r="8">
      <c r="A8" s="20"/>
      <c r="B8" s="70" t="s">
        <v>66</v>
      </c>
      <c r="C8" s="71" t="s">
        <v>15</v>
      </c>
      <c r="D8" s="71" t="s">
        <v>67</v>
      </c>
      <c r="E8" s="72">
        <v>4.0</v>
      </c>
      <c r="F8" s="72">
        <v>2.0</v>
      </c>
    </row>
    <row r="9">
      <c r="A9" s="20"/>
      <c r="B9" s="70" t="s">
        <v>68</v>
      </c>
      <c r="C9" s="71" t="s">
        <v>16</v>
      </c>
      <c r="D9" s="71" t="s">
        <v>69</v>
      </c>
      <c r="E9" s="72">
        <v>2.0</v>
      </c>
      <c r="F9" s="72">
        <v>2.0</v>
      </c>
    </row>
    <row r="10">
      <c r="A10" s="20"/>
      <c r="B10" s="70" t="s">
        <v>70</v>
      </c>
      <c r="C10" s="71" t="s">
        <v>17</v>
      </c>
      <c r="D10" s="71" t="s">
        <v>71</v>
      </c>
      <c r="E10" s="72">
        <v>2.0</v>
      </c>
      <c r="F10" s="72">
        <v>2.0</v>
      </c>
    </row>
    <row r="11">
      <c r="A11" s="20"/>
      <c r="B11" s="70" t="s">
        <v>72</v>
      </c>
      <c r="C11" s="71" t="s">
        <v>18</v>
      </c>
      <c r="D11" s="71" t="s">
        <v>73</v>
      </c>
      <c r="E11" s="72">
        <v>5.0</v>
      </c>
      <c r="F11" s="72">
        <v>2.0</v>
      </c>
    </row>
    <row r="12">
      <c r="A12" s="20"/>
      <c r="B12" s="70" t="s">
        <v>74</v>
      </c>
      <c r="C12" s="71" t="s">
        <v>19</v>
      </c>
      <c r="D12" s="71" t="s">
        <v>75</v>
      </c>
      <c r="E12" s="72">
        <v>2.0</v>
      </c>
      <c r="F12" s="72">
        <v>2.0</v>
      </c>
    </row>
    <row r="13">
      <c r="A13" s="20"/>
      <c r="B13" s="70"/>
      <c r="C13" s="76" t="s">
        <v>76</v>
      </c>
      <c r="D13" s="71"/>
      <c r="E13" s="76">
        <v>1.0</v>
      </c>
      <c r="F13" s="72"/>
    </row>
    <row r="14">
      <c r="A14" s="20"/>
      <c r="B14" s="70" t="s">
        <v>77</v>
      </c>
      <c r="C14" s="77" t="s">
        <v>20</v>
      </c>
      <c r="D14" s="71" t="s">
        <v>78</v>
      </c>
      <c r="E14" s="72">
        <v>6.0</v>
      </c>
      <c r="F14" s="72">
        <v>2.0</v>
      </c>
    </row>
    <row r="15">
      <c r="A15" s="20"/>
      <c r="B15" s="73" t="s">
        <v>61</v>
      </c>
      <c r="C15" s="77" t="s">
        <v>21</v>
      </c>
      <c r="D15" s="71"/>
      <c r="E15" s="75">
        <v>3.0</v>
      </c>
      <c r="F15" s="75" t="s">
        <v>63</v>
      </c>
    </row>
    <row r="16">
      <c r="A16" s="20"/>
      <c r="B16" s="73" t="s">
        <v>61</v>
      </c>
      <c r="C16" s="76" t="s">
        <v>22</v>
      </c>
      <c r="D16" s="71"/>
      <c r="E16" s="76">
        <v>3.0</v>
      </c>
      <c r="F16" s="75" t="s">
        <v>63</v>
      </c>
    </row>
    <row r="17">
      <c r="A17" s="20"/>
      <c r="B17" s="70" t="s">
        <v>79</v>
      </c>
      <c r="C17" s="71" t="s">
        <v>23</v>
      </c>
      <c r="D17" s="71" t="s">
        <v>80</v>
      </c>
      <c r="E17" s="72">
        <v>1.0</v>
      </c>
      <c r="F17" s="72">
        <v>2.0</v>
      </c>
    </row>
    <row r="18">
      <c r="A18" s="20"/>
      <c r="B18" s="70" t="s">
        <v>81</v>
      </c>
      <c r="C18" s="71" t="s">
        <v>24</v>
      </c>
      <c r="D18" s="71" t="s">
        <v>82</v>
      </c>
      <c r="E18" s="72">
        <v>1.0</v>
      </c>
      <c r="F18" s="72">
        <v>2.0</v>
      </c>
    </row>
    <row r="19">
      <c r="A19" s="20"/>
      <c r="B19" s="70" t="s">
        <v>83</v>
      </c>
      <c r="C19" s="71" t="s">
        <v>25</v>
      </c>
      <c r="D19" s="71" t="s">
        <v>84</v>
      </c>
      <c r="E19" s="72">
        <v>2.0</v>
      </c>
      <c r="F19" s="72">
        <v>2.0</v>
      </c>
    </row>
    <row r="20">
      <c r="A20" s="20"/>
      <c r="B20" s="70" t="s">
        <v>85</v>
      </c>
      <c r="C20" s="77" t="s">
        <v>27</v>
      </c>
      <c r="D20" s="71" t="s">
        <v>86</v>
      </c>
      <c r="E20" s="72">
        <v>8.0</v>
      </c>
      <c r="F20" s="72">
        <v>2.0</v>
      </c>
    </row>
    <row r="21">
      <c r="A21" s="20"/>
      <c r="B21" s="73" t="s">
        <v>61</v>
      </c>
      <c r="C21" s="74" t="s">
        <v>28</v>
      </c>
      <c r="D21" s="71"/>
      <c r="E21" s="74">
        <v>1.0</v>
      </c>
      <c r="F21" s="74" t="s">
        <v>63</v>
      </c>
      <c r="H21" s="14"/>
      <c r="I21" s="14"/>
    </row>
    <row r="22">
      <c r="A22" s="20"/>
      <c r="B22" s="73" t="s">
        <v>61</v>
      </c>
      <c r="C22" s="74" t="s">
        <v>29</v>
      </c>
      <c r="D22" s="71"/>
      <c r="E22" s="74">
        <v>2.0</v>
      </c>
      <c r="F22" s="75" t="s">
        <v>63</v>
      </c>
      <c r="H22" s="14"/>
      <c r="I22" s="14"/>
    </row>
    <row r="23">
      <c r="A23" s="20"/>
      <c r="B23" s="73" t="s">
        <v>61</v>
      </c>
      <c r="C23" s="74" t="s">
        <v>30</v>
      </c>
      <c r="D23" s="71"/>
      <c r="E23" s="74">
        <v>8.0</v>
      </c>
      <c r="F23" s="75" t="s">
        <v>63</v>
      </c>
      <c r="H23" s="14"/>
      <c r="I23" s="14"/>
    </row>
    <row r="24">
      <c r="A24" s="9"/>
      <c r="B24" s="70" t="s">
        <v>87</v>
      </c>
      <c r="C24" s="71" t="s">
        <v>32</v>
      </c>
      <c r="D24" s="71" t="s">
        <v>88</v>
      </c>
      <c r="E24" s="72">
        <v>16.0</v>
      </c>
      <c r="F24" s="72">
        <v>3.0</v>
      </c>
    </row>
    <row r="25">
      <c r="A25" s="78"/>
      <c r="B25" s="78"/>
      <c r="C25" s="78"/>
      <c r="D25" s="78"/>
      <c r="E25" s="78"/>
      <c r="F25" s="78"/>
    </row>
    <row r="26">
      <c r="A26" s="70" t="s">
        <v>89</v>
      </c>
      <c r="B26" s="78"/>
      <c r="C26" s="78"/>
      <c r="D26" s="78"/>
      <c r="E26" s="72">
        <f>sum(E2:E25)</f>
        <v>98</v>
      </c>
      <c r="F26" s="7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2:A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